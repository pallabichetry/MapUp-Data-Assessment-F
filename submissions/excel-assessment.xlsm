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hask\Downloads\"/>
    </mc:Choice>
  </mc:AlternateContent>
  <xr:revisionPtr revIDLastSave="0" documentId="13_ncr:1_{7F5F7881-3153-4F09-8D41-1335A1613F59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 a="1"/>
  <c r="C22" i="19" s="1"/>
  <c r="D30" i="18"/>
  <c r="E30" i="18"/>
  <c r="F30" i="18"/>
  <c r="C30" i="18"/>
  <c r="D29" i="18"/>
  <c r="E29" i="18"/>
  <c r="F29" i="18"/>
  <c r="C29" i="18"/>
  <c r="D28" i="18"/>
  <c r="E28" i="18"/>
  <c r="F28" i="18"/>
  <c r="C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<sst xmlns="http://schemas.openxmlformats.org/spreadsheetml/2006/main" count="408" uniqueCount="185">
  <si>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</si>
  <si>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</si>
  <si>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</si>
  <si>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</si>
  <si>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</si>
  <si>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</si>
  <si>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</si>
  <si>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</si>
  <si>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</si>
  <si>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</si>
  <si>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</si>
  <si>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</si>
  <si>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</si>
  <si>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</si>
  <si>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</si>
  <si>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</si>
  <si>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</si>
  <si>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</si>
  <si>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</si>
  <si>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</si>
  <si>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</si>
  <si>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</si>
  <si>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</si>
  <si>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</si>
  <si>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</si>
  <si>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</si>
  <si>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</si>
  <si>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</si>
  <si>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</si>
  <si>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</si>
  <si>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</si>
  <si>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</si>
  <si>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</si>
  <si>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</si>
  <si>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</si>
  <si>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</si>
  <si>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</si>
  <si>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</si>
  <si>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</si>
  <si>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</si>
  <si>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</si>
  <si>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</si>
  <si>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</si>
  <si>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</si>
  <si>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</si>
  <si>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</si>
  <si>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</si>
  <si>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</si>
  <si>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</si>
  <si>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</si>
  <si>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</si>
  <si>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</si>
  <si>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</si>
  <si>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</si>
  <si>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</si>
  <si>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</si>
  <si>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</si>
  <si>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</si>
  <si>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</si>
  <si>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</si>
  <si>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</si>
  <si>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</si>
  <si>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</si>
  <si>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</si>
  <si>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</si>
  <si>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</si>
  <si>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</si>
  <si>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</si>
  <si>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</si>
  <si>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</si>
  <si>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</si>
  <si>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</si>
  <si>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</si>
  <si>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</si>
  <si>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</si>
  <si>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</si>
  <si>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</si>
  <si>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</si>
  <si>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</si>
  <si>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</si>
  <si>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</si>
  <si>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</si>
  <si>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</si>
  <si>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</si>
  <si>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</si>
  <si>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</si>
  <si>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</si>
  <si>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</si>
  <si>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</si>
  <si>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</si>
  <si>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</si>
  <si>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</si>
  <si>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</si>
  <si>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</si>
  <si>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</si>
  <si>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</si>
  <si>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</si>
  <si>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</si>
  <si>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</si>
  <si>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</si>
  <si>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</si>
  <si>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</si>
  <si>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</si>
  <si>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</si>
  <si>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</si>
  <si>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</si>
  <si>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</si>
  <si>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</si>
  <si>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</si>
  <si>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</si>
  <si>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</si>
  <si>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</si>
  <si>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</si>
  <si>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</si>
  <si>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</si>
  <si>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</si>
  <si>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</si>
  <si>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</si>
  <si>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</si>
  <si>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</si>
  <si>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</si>
  <si>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</si>
  <si>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</si>
  <si>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</si>
  <si>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</si>
  <si>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</si>
  <si>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</si>
  <si>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</si>
  <si>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</si>
  <si>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</si>
  <si>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</si>
  <si>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</si>
  <si>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</si>
  <si>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</si>
  <si>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</si>
  <si>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</si>
  <si>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</si>
  <si>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</si>
  <si>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</si>
  <si>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</si>
  <si>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</si>
  <si>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</si>
  <si>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</si>
  <si>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</si>
  <si>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</si>
  <si>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</si>
  <si>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</si>
  <si>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</si>
  <si>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</si>
  <si>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</si>
  <si>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</si>
  <si>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</si>
  <si>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</si>
  <si>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</si>
  <si>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</si>
  <si>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</si>
  <si>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</si>
  <si>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</si>
  <si>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</si>
  <si>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</si>
  <si>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</si>
  <si>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</si>
  <si>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</si>
  <si>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</si>
  <si>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</si>
  <si>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</si>
  <si>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</si>
  <si>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</si>
  <si>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</si>
  <si>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</si>
  <si>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</si>
  <si>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</si>
  <si>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</si>
  <si>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</si>
  <si>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</si>
  <si>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</si>
  <si>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</si>
  <si>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SUMIF(H2:H40,"&gt;20")</t>
  </si>
  <si>
    <t>By using Text to Columns and split using delimiter '-'</t>
  </si>
  <si>
    <t>SUM(IFNA($C$12:$C$21,20))</t>
  </si>
  <si>
    <t>calculate the sum of sales by substituting the '#N/A' values with 20 by using IFNA formula</t>
  </si>
  <si>
    <t>VLOOKUP(VLOOKUP(A23,$M$9:$N$18,2,0),$A$9:$J$18,MATCH(VLOOKUP(B23,$M$9:$N$18,2,0),$A$9:$J$9,0),0)</t>
  </si>
  <si>
    <t>Step 2: After getting the Name of corresponding ID, I searched for the position of Name in Table_A by using MATCH</t>
  </si>
  <si>
    <t>function and VLOOKUP together</t>
  </si>
  <si>
    <t>Step 1 : First I lookup the value of name_1 from Table_C into Table_B by using VLOOKUP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</si>
</sst>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2" fontId="3" fillId="5" borderId="1" xfId="0" applyNumberFormat="1" applyFont="1" applyFill="1" applyBorder="1"/>
    <xf numFmtId="0" fontId="8" fillId="0" borderId="0" xfId="0" applyFont="1" applyAlignment="1">
      <alignment wrapText="1"/>
    </xf>
    <xf numFmtId="0" fontId="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2" defaultTableStyle="TableStyleMedium2" defaultPivotStyle="PivotStyleLight16">
    <tableStyle name="Invisible" pivot="0" table="0" count="0" xr9:uid="{7C82046D-0192-47A7-A5AB-D435035A2935}"/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B27" sqref="B27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J1" zoomScaleNormal="100" workbookViewId="0">
      <pane ySplit="1" topLeftCell="A2" activePane="bottomLeft" state="frozen"/>
      <selection pane="bottomLeft" activeCell="V3" sqref="V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6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f>SUMIF(H2:H40,"&gt;20")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opLeftCell="B1" zoomScaleNormal="100" workbookViewId="0">
      <selection activeCell="C16" sqref="C1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F30" sqref="F3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VLOOKUP(Task_2!A6,Dataset!A:X,7,FALSE)</f>
        <v>2.7</v>
      </c>
      <c r="C6" s="12">
        <f>VLOOKUP(Task_2!A6,Dataset!A:X,14,FALSE)</f>
        <v>7.6</v>
      </c>
      <c r="D6" s="12">
        <f>VLOOKUP(Task_2!A6,Dataset!A:X,18,FALSE)</f>
        <v>4.2</v>
      </c>
      <c r="E6" s="12">
        <f>VLOOKUP(Task_2!A6,Dataset!A:X,20,FALSE)</f>
        <v>8.9</v>
      </c>
      <c r="F6" s="8">
        <f>VLOOKUP(Task_2!A6,Dataset!A:X,22,FALSE)</f>
        <v>4.2</v>
      </c>
    </row>
    <row r="7" spans="1:7" ht="14.4" x14ac:dyDescent="0.3">
      <c r="A7" s="7" t="s">
        <v>4</v>
      </c>
      <c r="B7" s="12">
        <f>VLOOKUP(Task_2!A7,Dataset!A:X,7,FALSE)</f>
        <v>2.7</v>
      </c>
      <c r="C7" s="12">
        <f>VLOOKUP(Task_2!A7,Dataset!A:X,14,FALSE)</f>
        <v>7.6</v>
      </c>
      <c r="D7" s="12">
        <f>VLOOKUP(Task_2!A7,Dataset!A:X,18,FALSE)</f>
        <v>4.2</v>
      </c>
      <c r="E7" s="12">
        <f>VLOOKUP(Task_2!A7,Dataset!A:X,20,FALSE)</f>
        <v>8.9</v>
      </c>
      <c r="F7" s="8">
        <f>VLOOKUP(Task_2!A7,Dataset!A:X,22,FALSE)</f>
        <v>4.2</v>
      </c>
    </row>
    <row r="8" spans="1:7" ht="14.4" x14ac:dyDescent="0.3">
      <c r="A8" s="7" t="s">
        <v>7</v>
      </c>
      <c r="B8" s="12">
        <f>VLOOKUP(Task_2!A8,Dataset!A:X,7,FALSE)</f>
        <v>3.6</v>
      </c>
      <c r="C8" s="12">
        <f>VLOOKUP(Task_2!A8,Dataset!A:X,14,FALSE)</f>
        <v>11.1</v>
      </c>
      <c r="D8" s="12">
        <f>VLOOKUP(Task_2!A8,Dataset!A:X,18,FALSE)</f>
        <v>5.8</v>
      </c>
      <c r="E8" s="12">
        <f>VLOOKUP(Task_2!A8,Dataset!A:X,20,FALSE)</f>
        <v>12.2</v>
      </c>
      <c r="F8" s="8">
        <f>VLOOKUP(Task_2!A8,Dataset!A:X,22,FALSE)</f>
        <v>5.8</v>
      </c>
    </row>
    <row r="9" spans="1:7" ht="14.4" x14ac:dyDescent="0.3">
      <c r="A9" s="7" t="s">
        <v>8</v>
      </c>
      <c r="B9" s="12">
        <f>VLOOKUP(Task_2!A9,Dataset!A:X,7,FALSE)</f>
        <v>4.9000000000000004</v>
      </c>
      <c r="C9" s="12">
        <f>VLOOKUP(Task_2!A9,Dataset!A:X,14,FALSE)</f>
        <v>13.3</v>
      </c>
      <c r="D9" s="12">
        <f>VLOOKUP(Task_2!A9,Dataset!A:X,18,FALSE)</f>
        <v>8.1</v>
      </c>
      <c r="E9" s="12">
        <f>VLOOKUP(Task_2!A9,Dataset!A:X,20,FALSE)</f>
        <v>17</v>
      </c>
      <c r="F9" s="8">
        <f>VLOOKUP(Task_2!A9,Dataset!A:X,22,FALSE)</f>
        <v>8.1</v>
      </c>
    </row>
    <row r="10" spans="1:7" ht="14.4" x14ac:dyDescent="0.3">
      <c r="A10" s="7" t="s">
        <v>11</v>
      </c>
      <c r="B10" s="12">
        <f>VLOOKUP(Task_2!A10,Dataset!A:X,7,FALSE)</f>
        <v>9.4</v>
      </c>
      <c r="C10" s="12">
        <f>VLOOKUP(Task_2!A10,Dataset!A:X,14,FALSE)</f>
        <v>28.3</v>
      </c>
      <c r="D10" s="12">
        <f>VLOOKUP(Task_2!A10,Dataset!A:X,18,FALSE)</f>
        <v>16.100000000000001</v>
      </c>
      <c r="E10" s="12">
        <f>VLOOKUP(Task_2!A10,Dataset!A:X,20,FALSE)</f>
        <v>32.799999999999997</v>
      </c>
      <c r="F10" s="8">
        <f>VLOOKUP(Task_2!A10,Dataset!A:X,22,FALSE)</f>
        <v>16.100000000000001</v>
      </c>
    </row>
    <row r="11" spans="1:7" ht="14.4" x14ac:dyDescent="0.3">
      <c r="A11" s="7" t="s">
        <v>12</v>
      </c>
      <c r="B11" s="12">
        <f>VLOOKUP(Task_2!A11,Dataset!A:X,7,FALSE)</f>
        <v>11.6</v>
      </c>
      <c r="C11" s="12">
        <f>VLOOKUP(Task_2!A11,Dataset!A:X,14,FALSE)</f>
        <v>35.200000000000003</v>
      </c>
      <c r="D11" s="12">
        <f>VLOOKUP(Task_2!A11,Dataset!A:X,18,FALSE)</f>
        <v>21.3</v>
      </c>
      <c r="E11" s="12">
        <f>VLOOKUP(Task_2!A11,Dataset!A:X,20,FALSE)</f>
        <v>43</v>
      </c>
      <c r="F11" s="8">
        <f>VLOOKUP(Task_2!A11,Dataset!A:X,22,FALSE)</f>
        <v>21.3</v>
      </c>
    </row>
    <row r="12" spans="1:7" ht="14.4" x14ac:dyDescent="0.3">
      <c r="A12" s="7" t="s">
        <v>14</v>
      </c>
      <c r="B12" s="12">
        <f>VLOOKUP(Task_2!A12,Dataset!A:X,7,FALSE)</f>
        <v>18.399999999999999</v>
      </c>
      <c r="C12" s="12">
        <f>VLOOKUP(Task_2!A12,Dataset!A:X,14,FALSE)</f>
        <v>55.6</v>
      </c>
      <c r="D12" s="12">
        <f>VLOOKUP(Task_2!A12,Dataset!A:X,18,FALSE)</f>
        <v>33.799999999999997</v>
      </c>
      <c r="E12" s="12">
        <f>VLOOKUP(Task_2!A12,Dataset!A:X,20,FALSE)</f>
        <v>67.900000000000006</v>
      </c>
      <c r="F12" s="8">
        <f>VLOOKUP(Task_2!A12,Dataset!A:X,22,FALSE)</f>
        <v>33.799999999999997</v>
      </c>
    </row>
    <row r="13" spans="1:7" ht="14.4" x14ac:dyDescent="0.3">
      <c r="A13" s="7" t="s">
        <v>15</v>
      </c>
      <c r="B13" s="12">
        <f>VLOOKUP(Task_2!A13,Dataset!A:X,7,FALSE)</f>
        <v>0</v>
      </c>
      <c r="C13" s="12">
        <f>VLOOKUP(Task_2!A13,Dataset!A:X,14,FALSE)</f>
        <v>0</v>
      </c>
      <c r="D13" s="12">
        <f>VLOOKUP(Task_2!A13,Dataset!A:X,18,FALSE)</f>
        <v>0</v>
      </c>
      <c r="E13" s="12">
        <f>VLOOKUP(Task_2!A13,Dataset!A:X,20,FALSE)</f>
        <v>0</v>
      </c>
      <c r="F13" s="8">
        <f>VLOOKUP(Task_2!A13,Dataset!A:X,22,FALSE)</f>
        <v>0</v>
      </c>
    </row>
    <row r="14" spans="1:7" ht="14.4" x14ac:dyDescent="0.3">
      <c r="A14" s="7" t="s">
        <v>16</v>
      </c>
      <c r="B14" s="12">
        <f>VLOOKUP(Task_2!A14,Dataset!A:X,7,FALSE)</f>
        <v>21.9</v>
      </c>
      <c r="C14" s="12">
        <f>VLOOKUP(Task_2!A14,Dataset!A:X,14,FALSE)</f>
        <v>61.5</v>
      </c>
      <c r="D14" s="12">
        <f>VLOOKUP(Task_2!A14,Dataset!A:X,18,FALSE)</f>
        <v>40.1</v>
      </c>
      <c r="E14" s="12">
        <f>VLOOKUP(Task_2!A14,Dataset!A:X,20,FALSE)</f>
        <v>76.599999999999994</v>
      </c>
      <c r="F14" s="8">
        <f>VLOOKUP(Task_2!A14,Dataset!A:X,22,FALSE)</f>
        <v>40.1</v>
      </c>
    </row>
    <row r="15" spans="1:7" ht="14.4" x14ac:dyDescent="0.3">
      <c r="A15" s="7" t="s">
        <v>18</v>
      </c>
      <c r="B15" s="12">
        <f>VLOOKUP(Task_2!A15,Dataset!A:X,7,FALSE)</f>
        <v>26.8</v>
      </c>
      <c r="C15" s="12">
        <f>VLOOKUP(Task_2!A15,Dataset!A:X,14,FALSE)</f>
        <v>79.599999999999994</v>
      </c>
      <c r="D15" s="12">
        <f>VLOOKUP(Task_2!A15,Dataset!A:X,18,FALSE)</f>
        <v>47.9</v>
      </c>
      <c r="E15" s="12">
        <f>VLOOKUP(Task_2!A15,Dataset!A:X,20,FALSE)</f>
        <v>96.8</v>
      </c>
      <c r="F15" s="8">
        <f>VLOOKUP(Task_2!A15,Dataset!A:X,22,FALSE)</f>
        <v>47.9</v>
      </c>
    </row>
    <row r="16" spans="1:7" ht="14.4" x14ac:dyDescent="0.3">
      <c r="A16" s="7" t="s">
        <v>20</v>
      </c>
      <c r="B16" s="12">
        <f>VLOOKUP(Task_2!A16,Dataset!A:X,7,FALSE)</f>
        <v>28.5</v>
      </c>
      <c r="C16" s="12">
        <f>VLOOKUP(Task_2!A16,Dataset!A:X,14,FALSE)</f>
        <v>85.4</v>
      </c>
      <c r="D16" s="12">
        <f>VLOOKUP(Task_2!A16,Dataset!A:X,18,FALSE)</f>
        <v>52.3</v>
      </c>
      <c r="E16" s="12">
        <f>VLOOKUP(Task_2!A16,Dataset!A:X,20,FALSE)</f>
        <v>106.1</v>
      </c>
      <c r="F16" s="8">
        <f>VLOOKUP(Task_2!A16,Dataset!A:X,22,FALSE)</f>
        <v>52.3</v>
      </c>
    </row>
    <row r="17" spans="1:6" ht="14.4" x14ac:dyDescent="0.3">
      <c r="A17" s="7" t="s">
        <v>22</v>
      </c>
      <c r="B17" s="12">
        <f>VLOOKUP(Task_2!A17,Dataset!A:X,7,FALSE)</f>
        <v>30.7</v>
      </c>
      <c r="C17" s="12">
        <f>VLOOKUP(Task_2!A17,Dataset!A:X,14,FALSE)</f>
        <v>92.1</v>
      </c>
      <c r="D17" s="12">
        <f>VLOOKUP(Task_2!A17,Dataset!A:X,18,FALSE)</f>
        <v>57</v>
      </c>
      <c r="E17" s="12">
        <f>VLOOKUP(Task_2!A17,Dataset!A:X,20,FALSE)</f>
        <v>115.1</v>
      </c>
      <c r="F17" s="8">
        <f>VLOOKUP(Task_2!A17,Dataset!A:X,22,FALSE)</f>
        <v>57</v>
      </c>
    </row>
    <row r="18" spans="1:6" ht="14.4" x14ac:dyDescent="0.3">
      <c r="A18" s="7" t="s">
        <v>23</v>
      </c>
      <c r="B18" s="12">
        <f>VLOOKUP(Task_2!A18,Dataset!A:X,7,FALSE)</f>
        <v>33.799999999999997</v>
      </c>
      <c r="C18" s="12">
        <f>VLOOKUP(Task_2!A18,Dataset!A:X,14,FALSE)</f>
        <v>101.3</v>
      </c>
      <c r="D18" s="12">
        <f>VLOOKUP(Task_2!A18,Dataset!A:X,18,FALSE)</f>
        <v>61.4</v>
      </c>
      <c r="E18" s="12">
        <f>VLOOKUP(Task_2!A18,Dataset!A:X,20,FALSE)</f>
        <v>124.4</v>
      </c>
      <c r="F18" s="8">
        <f>VLOOKUP(Task_2!A18,Dataset!A:X,22,FALSE)</f>
        <v>61.4</v>
      </c>
    </row>
    <row r="19" spans="1:6" ht="14.4" x14ac:dyDescent="0.3">
      <c r="A19" s="7" t="s">
        <v>24</v>
      </c>
      <c r="B19" s="12">
        <f>VLOOKUP(Task_2!A19,Dataset!A:X,7,FALSE)</f>
        <v>34.700000000000003</v>
      </c>
      <c r="C19" s="12">
        <f>VLOOKUP(Task_2!A19,Dataset!A:X,14,FALSE)</f>
        <v>106.1</v>
      </c>
      <c r="D19" s="12">
        <f>VLOOKUP(Task_2!A19,Dataset!A:X,18,FALSE)</f>
        <v>63.6</v>
      </c>
      <c r="E19" s="12">
        <f>VLOOKUP(Task_2!A19,Dataset!A:X,20,FALSE)</f>
        <v>128.6</v>
      </c>
      <c r="F19" s="8">
        <f>VLOOKUP(Task_2!A19,Dataset!A:X,22,FALSE)</f>
        <v>63.6</v>
      </c>
    </row>
    <row r="20" spans="1:6" ht="14.4" x14ac:dyDescent="0.3">
      <c r="A20" s="7" t="s">
        <v>28</v>
      </c>
      <c r="B20" s="12">
        <f>VLOOKUP(Task_2!A20,Dataset!A:X,7,FALSE)</f>
        <v>0</v>
      </c>
      <c r="C20" s="12">
        <f>VLOOKUP(Task_2!A20,Dataset!A:X,14,FALSE)</f>
        <v>0</v>
      </c>
      <c r="D20" s="12">
        <f>VLOOKUP(Task_2!A20,Dataset!A:X,18,FALSE)</f>
        <v>0</v>
      </c>
      <c r="E20" s="12">
        <f>VLOOKUP(Task_2!A20,Dataset!A:X,20,FALSE)</f>
        <v>0</v>
      </c>
      <c r="F20" s="8">
        <f>VLOOKUP(Task_2!A20,Dataset!A:X,22,FALSE)</f>
        <v>0</v>
      </c>
    </row>
    <row r="21" spans="1:6" ht="14.4" x14ac:dyDescent="0.3">
      <c r="A21" s="7" t="s">
        <v>57</v>
      </c>
      <c r="B21" s="12">
        <f>VLOOKUP(Task_2!A21,Dataset!A:X,7,FALSE)</f>
        <v>41.3</v>
      </c>
      <c r="C21" s="12">
        <f>VLOOKUP(Task_2!A21,Dataset!A:X,14,FALSE)</f>
        <v>124.4</v>
      </c>
      <c r="D21" s="12">
        <f>VLOOKUP(Task_2!A21,Dataset!A:X,18,FALSE)</f>
        <v>75</v>
      </c>
      <c r="E21" s="12">
        <f>VLOOKUP(Task_2!A21,Dataset!A:X,20,FALSE)</f>
        <v>151.5</v>
      </c>
      <c r="F21" s="8">
        <f>VLOOKUP(Task_2!A21,Dataset!A:X,22,FALSE)</f>
        <v>75</v>
      </c>
    </row>
    <row r="22" spans="1:6" ht="14.4" x14ac:dyDescent="0.3">
      <c r="A22" s="7" t="s">
        <v>58</v>
      </c>
      <c r="B22" s="12">
        <f>VLOOKUP(Task_2!A22,Dataset!A:X,7,FALSE)</f>
        <v>-1</v>
      </c>
      <c r="C22" s="12">
        <f>VLOOKUP(Task_2!A22,Dataset!A:X,14,FALSE)</f>
        <v>-1</v>
      </c>
      <c r="D22" s="12">
        <f>VLOOKUP(Task_2!A22,Dataset!A:X,18,FALSE)</f>
        <v>-1</v>
      </c>
      <c r="E22" s="12">
        <f>VLOOKUP(Task_2!A22,Dataset!A:X,20,FALSE)</f>
        <v>-1</v>
      </c>
      <c r="F22" s="8">
        <f>VLOOKUP(Task_2!A22,Dataset!A:X,22,FALSE)</f>
        <v>-1</v>
      </c>
    </row>
    <row r="23" spans="1:6" ht="14.4" x14ac:dyDescent="0.3">
      <c r="A23" s="7" t="s">
        <v>31</v>
      </c>
      <c r="B23" s="12">
        <f>VLOOKUP(Task_2!A23,Dataset!A:X,7,FALSE)</f>
        <v>45</v>
      </c>
      <c r="C23" s="12">
        <f>VLOOKUP(Task_2!A23,Dataset!A:X,14,FALSE)</f>
        <v>133.4</v>
      </c>
      <c r="D23" s="12">
        <f>VLOOKUP(Task_2!A23,Dataset!A:X,18,FALSE)</f>
        <v>79.400000000000006</v>
      </c>
      <c r="E23" s="12">
        <f>VLOOKUP(Task_2!A23,Dataset!A:X,20,FALSE)</f>
        <v>160.9</v>
      </c>
      <c r="F23" s="8">
        <f>VLOOKUP(Task_2!A23,Dataset!A:X,22,FALSE)</f>
        <v>79.400000000000006</v>
      </c>
    </row>
    <row r="24" spans="1:6" ht="14.4" x14ac:dyDescent="0.3">
      <c r="A24" s="7" t="s">
        <v>32</v>
      </c>
      <c r="B24" s="12">
        <f>VLOOKUP(Task_2!A24,Dataset!A:X,7,FALSE)</f>
        <v>-1</v>
      </c>
      <c r="C24" s="12">
        <f>VLOOKUP(Task_2!A24,Dataset!A:X,14,FALSE)</f>
        <v>-1</v>
      </c>
      <c r="D24" s="12">
        <f>VLOOKUP(Task_2!A24,Dataset!A:X,18,FALSE)</f>
        <v>-1</v>
      </c>
      <c r="E24" s="12">
        <f>VLOOKUP(Task_2!A24,Dataset!A:X,20,FALSE)</f>
        <v>-1</v>
      </c>
      <c r="F24" s="8">
        <f>VLOOKUP(Task_2!A24,Dataset!A:X,22,FALSE)</f>
        <v>-1</v>
      </c>
    </row>
    <row r="25" spans="1:6" ht="14.4" x14ac:dyDescent="0.3">
      <c r="A25" s="7" t="s">
        <v>34</v>
      </c>
      <c r="B25" s="12">
        <f>VLOOKUP(Task_2!A25,Dataset!A:X,7,FALSE)</f>
        <v>43.3</v>
      </c>
      <c r="C25" s="12">
        <f>VLOOKUP(Task_2!A25,Dataset!A:X,14,FALSE)</f>
        <v>128.6</v>
      </c>
      <c r="D25" s="12">
        <f>VLOOKUP(Task_2!A25,Dataset!A:X,18,FALSE)</f>
        <v>79.400000000000006</v>
      </c>
      <c r="E25" s="12">
        <f>VLOOKUP(Task_2!A25,Dataset!A:X,20,FALSE)</f>
        <v>160.9</v>
      </c>
      <c r="F25" s="8">
        <f>VLOOKUP(Task_2!A25,Dataset!A:X,22,FALSE)</f>
        <v>79.400000000000006</v>
      </c>
    </row>
    <row r="26" spans="1:6" ht="14.4" x14ac:dyDescent="0.3">
      <c r="A26" s="7" t="s">
        <v>37</v>
      </c>
      <c r="B26" s="12">
        <f>VLOOKUP(Task_2!A26,Dataset!A:X,7,FALSE)</f>
        <v>49.1</v>
      </c>
      <c r="C26" s="12">
        <f>VLOOKUP(Task_2!A26,Dataset!A:X,14,FALSE)</f>
        <v>146.80000000000001</v>
      </c>
      <c r="D26" s="12">
        <f>VLOOKUP(Task_2!A26,Dataset!A:X,18,FALSE)</f>
        <v>90.9</v>
      </c>
      <c r="E26" s="12">
        <f>VLOOKUP(Task_2!A26,Dataset!A:X,20,FALSE)</f>
        <v>183.5</v>
      </c>
      <c r="F26" s="8">
        <f>VLOOKUP(Task_2!A26,Dataset!A:X,22,FALSE)</f>
        <v>90.9</v>
      </c>
    </row>
    <row r="27" spans="1:6" ht="14.4" x14ac:dyDescent="0.3">
      <c r="A27" s="7" t="s">
        <v>39</v>
      </c>
      <c r="B27" s="12">
        <f>VLOOKUP(Task_2!A27,Dataset!A:X,7,FALSE)</f>
        <v>51.8</v>
      </c>
      <c r="C27" s="12">
        <f>VLOOKUP(Task_2!A27,Dataset!A:X,14,FALSE)</f>
        <v>156.4</v>
      </c>
      <c r="D27" s="12">
        <f>VLOOKUP(Task_2!A27,Dataset!A:X,18,FALSE)</f>
        <v>93.1</v>
      </c>
      <c r="E27" s="12">
        <f>VLOOKUP(Task_2!A27,Dataset!A:X,20,FALSE)</f>
        <v>188.1</v>
      </c>
      <c r="F27" s="8">
        <f>VLOOKUP(Task_2!A27,Dataset!A:X,22,FALSE)</f>
        <v>93.1</v>
      </c>
    </row>
    <row r="28" spans="1:6" ht="14.4" x14ac:dyDescent="0.3">
      <c r="A28" s="19" t="s">
        <v>82</v>
      </c>
      <c r="B28" s="31">
        <f>MIN($B$6:$B$27)</f>
        <v>-1</v>
      </c>
      <c r="C28" s="31">
        <f>MIN(C6:C27)</f>
        <v>-1</v>
      </c>
      <c r="D28" s="31">
        <f t="shared" ref="D28:F28" si="0">MIN(D6:D27)</f>
        <v>-1</v>
      </c>
      <c r="E28" s="31">
        <f t="shared" si="0"/>
        <v>-1</v>
      </c>
      <c r="F28" s="31">
        <f t="shared" si="0"/>
        <v>-1</v>
      </c>
    </row>
    <row r="29" spans="1:6" ht="14.4" x14ac:dyDescent="0.3">
      <c r="A29" s="19" t="s">
        <v>83</v>
      </c>
      <c r="B29" s="31">
        <f>MAX($B$6:$B$27)</f>
        <v>51.8</v>
      </c>
      <c r="C29" s="31">
        <f>MAX(C6:C27)</f>
        <v>156.4</v>
      </c>
      <c r="D29" s="31">
        <f t="shared" ref="D29:F29" si="1">MAX(D6:D27)</f>
        <v>93.1</v>
      </c>
      <c r="E29" s="31">
        <f t="shared" si="1"/>
        <v>188.1</v>
      </c>
      <c r="F29" s="31">
        <f t="shared" si="1"/>
        <v>93.1</v>
      </c>
    </row>
    <row r="30" spans="1:6" ht="14.4" x14ac:dyDescent="0.3">
      <c r="A30" s="19" t="s">
        <v>84</v>
      </c>
      <c r="B30" s="47">
        <f>AVERAGE($B$6:$B$27)</f>
        <v>20.827272727272728</v>
      </c>
      <c r="C30" s="47">
        <f>AVERAGE(C6:C27)</f>
        <v>62.377272727272725</v>
      </c>
      <c r="D30" s="47">
        <f t="shared" ref="D30:F30" si="2">AVERAGE(D6:D27)</f>
        <v>37.800000000000004</v>
      </c>
      <c r="E30" s="47">
        <f t="shared" si="2"/>
        <v>76.418181818181822</v>
      </c>
      <c r="F30" s="47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1" zoomScaleNormal="100" workbookViewId="0">
      <selection activeCell="C6" sqref="C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178</v>
      </c>
    </row>
    <row r="6" spans="1:10" ht="18" x14ac:dyDescent="0.35">
      <c r="A6" s="43" t="s">
        <v>153</v>
      </c>
      <c r="B6" s="40"/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10" sqref="G10"/>
    </sheetView>
  </sheetViews>
  <sheetFormatPr defaultColWidth="11" defaultRowHeight="13.8" x14ac:dyDescent="0.3"/>
  <cols>
    <col min="1" max="1" width="28.21875" style="2" bestFit="1" customWidth="1"/>
    <col min="2" max="2" width="22.6640625" style="2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179</v>
      </c>
    </row>
    <row r="7" spans="1:3" ht="14.4" x14ac:dyDescent="0.3">
      <c r="A7" s="3" t="s">
        <v>153</v>
      </c>
      <c r="B7" s="1" t="s">
        <v>180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 t="e">
        <v>#N/A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 cm="1">
        <f t="array" ref="C22">SUM(_xlfn.IFNA($C$12:$C$21,20))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" zoomScaleNormal="100" workbookViewId="0">
      <selection activeCell="C5" sqref="C5:J5"/>
    </sheetView>
  </sheetViews>
  <sheetFormatPr defaultColWidth="11" defaultRowHeight="13.8" x14ac:dyDescent="0.3"/>
  <cols>
    <col min="1" max="1" width="28.21875" style="2" bestFit="1" customWidth="1"/>
    <col min="2" max="9" width="11" style="2"/>
    <col min="10" max="10" width="13.109375" style="2" customWidth="1"/>
    <col min="11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  <c r="C4" s="2" t="s">
        <v>181</v>
      </c>
    </row>
    <row r="5" spans="1:14" ht="18" x14ac:dyDescent="0.35">
      <c r="A5" s="43" t="s">
        <v>153</v>
      </c>
      <c r="B5" s="1"/>
      <c r="C5" s="48" t="s">
        <v>184</v>
      </c>
      <c r="D5" s="48"/>
      <c r="E5" s="48"/>
      <c r="F5" s="48"/>
      <c r="G5" s="48"/>
      <c r="H5" s="48"/>
      <c r="I5" s="48"/>
      <c r="J5" s="48"/>
    </row>
    <row r="6" spans="1:14" ht="14.4" x14ac:dyDescent="0.3">
      <c r="A6" s="3"/>
      <c r="B6" s="1"/>
      <c r="C6" s="49" t="s">
        <v>182</v>
      </c>
      <c r="D6" s="49"/>
      <c r="E6" s="49"/>
      <c r="F6" s="49"/>
      <c r="G6" s="49"/>
      <c r="H6" s="49"/>
      <c r="I6" s="49"/>
      <c r="J6" s="49"/>
    </row>
    <row r="7" spans="1:14" x14ac:dyDescent="0.3">
      <c r="C7" s="49" t="s">
        <v>183</v>
      </c>
      <c r="D7" s="49"/>
      <c r="E7" s="49"/>
      <c r="F7" s="49"/>
      <c r="G7" s="49"/>
      <c r="H7" s="49"/>
      <c r="I7" s="49"/>
      <c r="J7" s="49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VLOOKUP(VLOOKUP(A23,$M$9:$N$18,2,0),$A$9:$J$18,MATCH(VLOOKUP(B23,$M$9:$N$18,2,0),$A$9:$J$9,0),0)</f>
        <v>95</v>
      </c>
    </row>
    <row r="24" spans="1:14" ht="14.4" x14ac:dyDescent="0.3">
      <c r="A24" s="7">
        <v>10100</v>
      </c>
      <c r="B24" s="12">
        <v>10104</v>
      </c>
      <c r="C24" s="44">
        <f t="shared" ref="C24:C35" si="0">VLOOKUP(VLOOKUP(A24,$M$9:$N$18,2,0),$A$9:$J$18,MATCH(VLOOKUP(B24,$M$9:$N$18,2,0),$A$9:$J$9,0),0)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4">
        <f t="shared" si="0"/>
        <v>105</v>
      </c>
    </row>
  </sheetData>
  <mergeCells count="3">
    <mergeCell ref="C5:J5"/>
    <mergeCell ref="C6:J6"/>
    <mergeCell ref="C7:J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Bhaskar Chetry</cp:lastModifiedBy>
  <dcterms:created xsi:type="dcterms:W3CDTF">2015-02-10T17:33:11Z</dcterms:created>
  <dcterms:modified xsi:type="dcterms:W3CDTF">2023-12-10T11:04:00Z</dcterms:modified>
</cp:coreProperties>
</file>